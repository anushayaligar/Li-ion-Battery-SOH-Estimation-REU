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5"/>
  </bookViews>
  <sheets>
    <sheet name="main_sheet" sheetId="1" r:id="rId1"/>
    <sheet name="1C" sheetId="5" r:id="rId2"/>
    <sheet name="2C" sheetId="2" r:id="rId3"/>
    <sheet name="4C" sheetId="3" r:id="rId4"/>
    <sheet name="6C" sheetId="4" r:id="rId5"/>
    <sheet name="final" sheetId="6" r:id="rId6"/>
  </sheets>
  <calcPr calcId="152511"/>
</workbook>
</file>

<file path=xl/calcChain.xml><?xml version="1.0" encoding="utf-8"?>
<calcChain xmlns="http://schemas.openxmlformats.org/spreadsheetml/2006/main">
  <c r="E12" i="5" l="1"/>
  <c r="D12" i="5"/>
  <c r="C12" i="5"/>
  <c r="B12" i="5"/>
  <c r="A12" i="5"/>
  <c r="E12" i="4"/>
  <c r="D12" i="4"/>
  <c r="C12" i="4"/>
  <c r="B12" i="4"/>
  <c r="A12" i="4"/>
  <c r="E13" i="3"/>
  <c r="D13" i="3"/>
  <c r="C13" i="3"/>
  <c r="B13" i="3"/>
  <c r="A13" i="3"/>
  <c r="E13" i="2"/>
  <c r="D13" i="2"/>
  <c r="C13" i="2"/>
  <c r="B13" i="2"/>
  <c r="A13" i="2"/>
</calcChain>
</file>

<file path=xl/sharedStrings.xml><?xml version="1.0" encoding="utf-8"?>
<sst xmlns="http://schemas.openxmlformats.org/spreadsheetml/2006/main" count="100" uniqueCount="36">
  <si>
    <t>t2</t>
  </si>
  <si>
    <t>t3</t>
  </si>
  <si>
    <t>t4</t>
  </si>
  <si>
    <t>t5</t>
  </si>
  <si>
    <t>Sl No.</t>
  </si>
  <si>
    <t>current</t>
  </si>
  <si>
    <t>6A</t>
  </si>
  <si>
    <t>12A</t>
  </si>
  <si>
    <t>18A</t>
  </si>
  <si>
    <t>3A</t>
  </si>
  <si>
    <t>03A</t>
  </si>
  <si>
    <t>06A</t>
  </si>
  <si>
    <t>R0</t>
  </si>
  <si>
    <t>R1</t>
  </si>
  <si>
    <t>R2</t>
  </si>
  <si>
    <t>C2(F)</t>
  </si>
  <si>
    <t xml:space="preserve">C1(F) </t>
  </si>
  <si>
    <t>average</t>
  </si>
  <si>
    <t>1C</t>
  </si>
  <si>
    <t>2C</t>
  </si>
  <si>
    <t>4C</t>
  </si>
  <si>
    <t>6C</t>
  </si>
  <si>
    <t>C1</t>
  </si>
  <si>
    <t>C2</t>
  </si>
  <si>
    <t>Does R0 reduce with increase in C-rate of discharge</t>
  </si>
  <si>
    <t>Does R1 reduce with increase in C-rate of discharge</t>
  </si>
  <si>
    <t>Does R2 reduce with increase in C-rate of discharge</t>
  </si>
  <si>
    <t>Does C1 incease with increase in C-rate of discharge</t>
  </si>
  <si>
    <t>Does C2 incease with increase in C-rate of discharge</t>
  </si>
  <si>
    <t>Finally is it true for all battery types??</t>
  </si>
  <si>
    <t>LG HG2 18650_SN62A4</t>
  </si>
  <si>
    <t>Li-ion</t>
  </si>
  <si>
    <t>Nominal voltage 3.7V</t>
  </si>
  <si>
    <t>Nominal capacity 3.0Ah</t>
  </si>
  <si>
    <t>Impedance 20mohm</t>
  </si>
  <si>
    <t>HPPC Test at 40deg-C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</si>
</sst>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/>
    <xf numFmtId="0" fontId="1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R0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944302416743368E-2"/>
          <c:y val="3.4740794971786025E-2"/>
          <c:w val="0.83879162831918741"/>
          <c:h val="0.6186700334184982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final!$B$2:$B$5</c:f>
              <c:numCache>
                <c:formatCode>General</c:formatCode>
                <c:ptCount val="4"/>
                <c:pt idx="0">
                  <c:v>0.73770000000000002</c:v>
                </c:pt>
                <c:pt idx="1">
                  <c:v>0.4</c:v>
                </c:pt>
                <c:pt idx="2">
                  <c:v>0.19800000000000001</c:v>
                </c:pt>
                <c:pt idx="3">
                  <c:v>0.13200000000000001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11756768"/>
        <c:axId val="-911758944"/>
      </c:lineChart>
      <c:catAx>
        <c:axId val="-9117567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11758944"/>
        <c:crosses val="autoZero"/>
        <c:auto val="1"/>
        <c:lblAlgn val="ctr"/>
        <c:lblOffset val="100"/>
        <c:noMultiLvlLbl val="0"/>
      </c:catAx>
      <c:valAx>
        <c:axId val="-91175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11756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R1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final!$C$2:$C$5</c:f>
              <c:numCache>
                <c:formatCode>General</c:formatCode>
                <c:ptCount val="4"/>
                <c:pt idx="0">
                  <c:v>0.2787</c:v>
                </c:pt>
                <c:pt idx="1">
                  <c:v>0.15</c:v>
                </c:pt>
                <c:pt idx="2">
                  <c:v>7.3499999999999996E-2</c:v>
                </c:pt>
                <c:pt idx="3">
                  <c:v>4.8000000000000001E-2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829649328"/>
        <c:axId val="-829647152"/>
      </c:lineChart>
      <c:catAx>
        <c:axId val="-8296493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29647152"/>
        <c:crosses val="autoZero"/>
        <c:auto val="1"/>
        <c:lblAlgn val="ctr"/>
        <c:lblOffset val="100"/>
        <c:noMultiLvlLbl val="0"/>
      </c:catAx>
      <c:valAx>
        <c:axId val="-82964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29649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C1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final!$D$2:$D$5</c:f>
              <c:numCache>
                <c:formatCode>General</c:formatCode>
                <c:ptCount val="4"/>
                <c:pt idx="0">
                  <c:v>2.7303999999999999</c:v>
                </c:pt>
                <c:pt idx="1">
                  <c:v>3.3690000000000002</c:v>
                </c:pt>
                <c:pt idx="2">
                  <c:v>6.8689999999999998</c:v>
                </c:pt>
                <c:pt idx="3">
                  <c:v>10.337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829653680"/>
        <c:axId val="-829641168"/>
      </c:lineChart>
      <c:catAx>
        <c:axId val="-829653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29641168"/>
        <c:crosses val="autoZero"/>
        <c:auto val="1"/>
        <c:lblAlgn val="ctr"/>
        <c:lblOffset val="100"/>
        <c:noMultiLvlLbl val="0"/>
      </c:catAx>
      <c:valAx>
        <c:axId val="-82964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29653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R2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final!$E$2:$E$5</c:f>
              <c:numCache>
                <c:formatCode>General</c:formatCode>
                <c:ptCount val="4"/>
                <c:pt idx="0">
                  <c:v>0.12670000000000001</c:v>
                </c:pt>
                <c:pt idx="1">
                  <c:v>6.6699999999999995E-2</c:v>
                </c:pt>
                <c:pt idx="2">
                  <c:v>3.2000000000000001E-2</c:v>
                </c:pt>
                <c:pt idx="3">
                  <c:v>2.1180000000000001E-2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829649872"/>
        <c:axId val="-829654224"/>
      </c:lineChart>
      <c:catAx>
        <c:axId val="-8296498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29654224"/>
        <c:crosses val="autoZero"/>
        <c:auto val="1"/>
        <c:lblAlgn val="ctr"/>
        <c:lblOffset val="100"/>
        <c:noMultiLvlLbl val="0"/>
      </c:catAx>
      <c:valAx>
        <c:axId val="-82965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29649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C2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final!$F$2:$F$5</c:f>
              <c:numCache>
                <c:formatCode>General</c:formatCode>
                <c:ptCount val="4"/>
                <c:pt idx="0">
                  <c:v>14.97</c:v>
                </c:pt>
                <c:pt idx="1">
                  <c:v>16.254999999999999</c:v>
                </c:pt>
                <c:pt idx="2">
                  <c:v>34.154000000000003</c:v>
                </c:pt>
                <c:pt idx="3">
                  <c:v>51.48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829650416"/>
        <c:axId val="-829646608"/>
      </c:lineChart>
      <c:catAx>
        <c:axId val="-8296504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29646608"/>
        <c:crosses val="autoZero"/>
        <c:auto val="1"/>
        <c:lblAlgn val="ctr"/>
        <c:lblOffset val="100"/>
        <c:noMultiLvlLbl val="0"/>
      </c:catAx>
      <c:valAx>
        <c:axId val="-82964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29650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594360</xdr:colOff>
      <xdr:row>1</xdr:row>
      <xdr:rowOff>0</xdr:rowOff>
    </xdr:from>
    <xdr:to>
      <xdr:col>11</xdr:col>
      <xdr:colOff>480060</xdr:colOff>
      <xdr:row>11</xdr:row>
      <xdr:rowOff>179070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373380</xdr:colOff>
      <xdr:row>1</xdr:row>
      <xdr:rowOff>0</xdr:rowOff>
    </xdr:from>
    <xdr:to>
      <xdr:col>17</xdr:col>
      <xdr:colOff>586740</xdr:colOff>
      <xdr:row>11</xdr:row>
      <xdr:rowOff>175260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373380</xdr:colOff>
      <xdr:row>13</xdr:row>
      <xdr:rowOff>53340</xdr:rowOff>
    </xdr:from>
    <xdr:to>
      <xdr:col>18</xdr:col>
      <xdr:colOff>7620</xdr:colOff>
      <xdr:row>25</xdr:row>
      <xdr:rowOff>3810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594360</xdr:colOff>
      <xdr:row>13</xdr:row>
      <xdr:rowOff>60960</xdr:rowOff>
    </xdr:from>
    <xdr:to>
      <xdr:col>12</xdr:col>
      <xdr:colOff>0</xdr:colOff>
      <xdr:row>24</xdr:row>
      <xdr:rowOff>129540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586740</xdr:colOff>
      <xdr:row>26</xdr:row>
      <xdr:rowOff>15240</xdr:rowOff>
    </xdr:from>
    <xdr:to>
      <xdr:col>11</xdr:col>
      <xdr:colOff>594360</xdr:colOff>
      <xdr:row>35</xdr:row>
      <xdr:rowOff>110490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Views>
    <sheetView topLeftCell="A19" workbookViewId="0">
      <selection activeCell="H41" sqref="H41:L41"/>
    </sheetView>
  </sheetViews>
  <sheetFormatPr defaultRowHeight="14.4" x14ac:dyDescent="0.3"/>
  <sheetData>
    <row r="1" spans="1:12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H1" t="s">
        <v>12</v>
      </c>
      <c r="I1" t="s">
        <v>13</v>
      </c>
      <c r="J1" t="s">
        <v>16</v>
      </c>
      <c r="K1" t="s">
        <v>14</v>
      </c>
      <c r="L1" t="s">
        <v>15</v>
      </c>
    </row>
    <row r="2" spans="1:12" x14ac:dyDescent="0.3">
      <c r="A2" s="3">
        <v>1</v>
      </c>
      <c r="B2" s="3">
        <v>980</v>
      </c>
      <c r="C2" s="3">
        <v>1080</v>
      </c>
      <c r="D2" s="3">
        <v>1090</v>
      </c>
      <c r="E2" s="3">
        <v>1300</v>
      </c>
      <c r="F2" s="3" t="s">
        <v>6</v>
      </c>
      <c r="H2" s="2">
        <v>0.42</v>
      </c>
      <c r="I2" s="2">
        <v>0.17299999999999999</v>
      </c>
      <c r="J2" s="2">
        <v>2.88</v>
      </c>
      <c r="K2" s="2">
        <v>8.8999999999999996E-2</v>
      </c>
      <c r="L2" s="2">
        <v>11.137</v>
      </c>
    </row>
    <row r="3" spans="1:12" x14ac:dyDescent="0.3">
      <c r="A3" s="3">
        <v>2</v>
      </c>
      <c r="B3" s="3">
        <v>1800</v>
      </c>
      <c r="C3" s="3">
        <v>1950</v>
      </c>
      <c r="D3" s="3">
        <v>1960</v>
      </c>
      <c r="E3" s="3">
        <v>2210</v>
      </c>
      <c r="F3" s="3" t="s">
        <v>7</v>
      </c>
      <c r="H3" s="2">
        <v>0.21</v>
      </c>
      <c r="I3" s="2">
        <v>8.5000000000000006E-2</v>
      </c>
      <c r="J3" s="2">
        <v>5.87</v>
      </c>
      <c r="K3" s="2">
        <v>4.2999999999999997E-2</v>
      </c>
      <c r="L3" s="2">
        <v>22.99</v>
      </c>
    </row>
    <row r="4" spans="1:12" x14ac:dyDescent="0.3">
      <c r="A4" s="3">
        <v>3</v>
      </c>
      <c r="B4" s="3">
        <v>2740</v>
      </c>
      <c r="C4" s="3">
        <v>2860</v>
      </c>
      <c r="D4" s="3">
        <v>2860</v>
      </c>
      <c r="E4" s="3">
        <v>3120</v>
      </c>
      <c r="F4" s="3" t="s">
        <v>8</v>
      </c>
      <c r="H4" s="2">
        <v>0.13900000000000001</v>
      </c>
      <c r="I4" s="2">
        <v>5.5E-2</v>
      </c>
      <c r="J4" s="2">
        <v>8.9600000000000009</v>
      </c>
      <c r="K4" s="2">
        <v>2.8000000000000001E-2</v>
      </c>
      <c r="L4" s="2">
        <v>35.71</v>
      </c>
    </row>
    <row r="5" spans="1:12" x14ac:dyDescent="0.3">
      <c r="A5" s="3">
        <v>5</v>
      </c>
      <c r="B5" s="3">
        <v>4070</v>
      </c>
      <c r="C5" s="3">
        <v>4175</v>
      </c>
      <c r="D5" s="3">
        <v>4175</v>
      </c>
      <c r="E5" s="3">
        <v>4270</v>
      </c>
      <c r="F5" s="3" t="s">
        <v>9</v>
      </c>
      <c r="H5" s="2">
        <v>0.84</v>
      </c>
      <c r="I5" s="2">
        <v>0.34</v>
      </c>
      <c r="J5" s="2">
        <v>1.47</v>
      </c>
      <c r="K5" s="2">
        <v>0.17399999999999999</v>
      </c>
      <c r="L5" s="2">
        <v>5.7329999999999997</v>
      </c>
    </row>
    <row r="6" spans="1:12" x14ac:dyDescent="0.3">
      <c r="A6" s="3">
        <v>6</v>
      </c>
      <c r="B6" s="3">
        <v>4980</v>
      </c>
      <c r="C6" s="3">
        <v>5090</v>
      </c>
      <c r="D6" s="3">
        <v>5090</v>
      </c>
      <c r="E6" s="3">
        <v>5230</v>
      </c>
      <c r="F6" s="3" t="s">
        <v>6</v>
      </c>
      <c r="H6" s="2">
        <v>0.41899999999999998</v>
      </c>
      <c r="I6" s="2">
        <v>0.16900000000000001</v>
      </c>
      <c r="J6" s="2">
        <v>2.95</v>
      </c>
      <c r="K6" s="2">
        <v>8.5000000000000006E-2</v>
      </c>
      <c r="L6" s="2">
        <v>11.65</v>
      </c>
    </row>
    <row r="7" spans="1:12" x14ac:dyDescent="0.3">
      <c r="A7" s="3">
        <v>7</v>
      </c>
      <c r="B7" s="3">
        <v>5900</v>
      </c>
      <c r="C7" s="3">
        <v>5950</v>
      </c>
      <c r="D7" s="3">
        <v>5950</v>
      </c>
      <c r="E7" s="3">
        <v>6118</v>
      </c>
      <c r="F7" s="3" t="s">
        <v>7</v>
      </c>
      <c r="H7" s="2">
        <v>0.20749999999999999</v>
      </c>
      <c r="I7" s="2">
        <v>8.2000000000000003E-2</v>
      </c>
      <c r="J7" s="2">
        <v>6.06</v>
      </c>
      <c r="K7" s="2">
        <v>4.0800000000000003E-2</v>
      </c>
      <c r="L7" s="2">
        <v>24.49</v>
      </c>
    </row>
    <row r="8" spans="1:12" x14ac:dyDescent="0.3">
      <c r="A8" s="3">
        <v>8</v>
      </c>
      <c r="B8" s="3">
        <v>6760</v>
      </c>
      <c r="C8" s="3">
        <v>6880</v>
      </c>
      <c r="D8" s="3">
        <v>6880</v>
      </c>
      <c r="E8" s="3">
        <v>7190</v>
      </c>
      <c r="F8" s="3" t="s">
        <v>8</v>
      </c>
      <c r="H8" s="2">
        <v>0.13800000000000001</v>
      </c>
      <c r="I8" s="2">
        <v>5.5E-2</v>
      </c>
      <c r="J8" s="2">
        <v>9.0370000000000008</v>
      </c>
      <c r="K8" s="2">
        <v>2.7E-2</v>
      </c>
      <c r="L8" s="2">
        <v>36.299999999999997</v>
      </c>
    </row>
    <row r="9" spans="1:12" x14ac:dyDescent="0.3">
      <c r="A9" s="3">
        <v>9</v>
      </c>
      <c r="B9" s="3">
        <v>8070</v>
      </c>
      <c r="C9" s="3">
        <v>8210</v>
      </c>
      <c r="D9" s="3">
        <v>8210</v>
      </c>
      <c r="E9" s="3">
        <v>8315</v>
      </c>
      <c r="F9" s="3" t="s">
        <v>10</v>
      </c>
      <c r="H9" s="2">
        <v>0.83899999999999997</v>
      </c>
      <c r="I9" s="2">
        <v>0.33900000000000002</v>
      </c>
      <c r="J9" s="2">
        <v>1.47</v>
      </c>
      <c r="K9" s="2">
        <v>0.17199999999999999</v>
      </c>
      <c r="L9" s="2">
        <v>5.79</v>
      </c>
    </row>
    <row r="10" spans="1:12" x14ac:dyDescent="0.3">
      <c r="A10" s="3">
        <v>10</v>
      </c>
      <c r="B10" s="3">
        <v>9020</v>
      </c>
      <c r="C10" s="3">
        <v>9120</v>
      </c>
      <c r="D10" s="3">
        <v>9120</v>
      </c>
      <c r="E10" s="3">
        <v>9260</v>
      </c>
      <c r="F10" s="3" t="s">
        <v>11</v>
      </c>
      <c r="H10" s="2">
        <v>0.41770000000000002</v>
      </c>
      <c r="I10" s="2">
        <v>0.16769999999999999</v>
      </c>
      <c r="J10" s="2">
        <v>2.98</v>
      </c>
      <c r="K10" s="2">
        <v>8.4000000000000005E-2</v>
      </c>
      <c r="L10" s="2">
        <v>11.84</v>
      </c>
    </row>
    <row r="11" spans="1:12" x14ac:dyDescent="0.3">
      <c r="A11" s="3">
        <v>11</v>
      </c>
      <c r="B11" s="3">
        <v>9800</v>
      </c>
      <c r="C11" s="3">
        <v>10020</v>
      </c>
      <c r="D11" s="3">
        <v>10020</v>
      </c>
      <c r="E11" s="3">
        <v>10210</v>
      </c>
      <c r="F11" s="3" t="s">
        <v>7</v>
      </c>
      <c r="H11" s="2">
        <v>0.20799999999999999</v>
      </c>
      <c r="I11" s="2">
        <v>8.3500000000000005E-2</v>
      </c>
      <c r="J11" s="2">
        <v>5.9859999999999998</v>
      </c>
      <c r="K11" s="2">
        <v>4.1799999999999997E-2</v>
      </c>
      <c r="L11" s="2">
        <v>23.89</v>
      </c>
    </row>
    <row r="12" spans="1:12" x14ac:dyDescent="0.3">
      <c r="A12" s="3">
        <v>12</v>
      </c>
      <c r="B12" s="3">
        <v>10810</v>
      </c>
      <c r="C12" s="3">
        <v>10930</v>
      </c>
      <c r="D12" s="3">
        <v>10930</v>
      </c>
      <c r="E12" s="3">
        <v>11100</v>
      </c>
      <c r="F12" s="3" t="s">
        <v>8</v>
      </c>
      <c r="H12" s="2">
        <v>0.13750000000000001</v>
      </c>
      <c r="I12" s="2">
        <v>5.3999999999999999E-2</v>
      </c>
      <c r="J12" s="2">
        <v>9.23</v>
      </c>
      <c r="K12" s="2">
        <v>2.63E-2</v>
      </c>
      <c r="L12" s="2">
        <v>37.89</v>
      </c>
    </row>
    <row r="13" spans="1:12" x14ac:dyDescent="0.3">
      <c r="A13" s="3">
        <v>13</v>
      </c>
      <c r="B13" s="3">
        <v>12200</v>
      </c>
      <c r="C13" s="3">
        <v>12300</v>
      </c>
      <c r="D13" s="3">
        <v>12300</v>
      </c>
      <c r="E13" s="3">
        <v>12500</v>
      </c>
      <c r="F13" s="3" t="s">
        <v>10</v>
      </c>
      <c r="H13" s="2">
        <v>0.83</v>
      </c>
      <c r="I13" s="2">
        <v>0.33</v>
      </c>
      <c r="J13" s="2">
        <v>1.5109999999999999</v>
      </c>
      <c r="K13" s="2">
        <v>0.16400000000000001</v>
      </c>
      <c r="L13" s="2">
        <v>6.09</v>
      </c>
    </row>
    <row r="14" spans="1:12" x14ac:dyDescent="0.3">
      <c r="A14" s="3">
        <v>14</v>
      </c>
      <c r="B14" s="3">
        <v>13100</v>
      </c>
      <c r="C14" s="3">
        <v>13210</v>
      </c>
      <c r="D14" s="3">
        <v>13210</v>
      </c>
      <c r="E14" s="3">
        <v>13410</v>
      </c>
      <c r="F14" s="3" t="s">
        <v>11</v>
      </c>
      <c r="H14" s="2">
        <v>0.41370000000000001</v>
      </c>
      <c r="I14" s="2">
        <v>0.16370000000000001</v>
      </c>
      <c r="J14" s="2">
        <v>3.0529999999999999</v>
      </c>
      <c r="K14" s="2">
        <v>0.08</v>
      </c>
      <c r="L14" s="2">
        <v>12.43</v>
      </c>
    </row>
    <row r="15" spans="1:12" x14ac:dyDescent="0.3">
      <c r="A15" s="3">
        <v>15</v>
      </c>
      <c r="B15" s="3">
        <v>14020</v>
      </c>
      <c r="C15" s="3">
        <v>14130</v>
      </c>
      <c r="D15" s="3">
        <v>14130</v>
      </c>
      <c r="E15" s="3">
        <v>14350</v>
      </c>
      <c r="F15" s="3" t="s">
        <v>7</v>
      </c>
      <c r="H15" s="2">
        <v>0.20499999999999999</v>
      </c>
      <c r="I15" s="2">
        <v>0.08</v>
      </c>
      <c r="J15" s="2">
        <v>6.2190000000000003</v>
      </c>
      <c r="K15" s="2">
        <v>3.7999999999999999E-2</v>
      </c>
      <c r="L15" s="2">
        <v>25.82</v>
      </c>
    </row>
    <row r="16" spans="1:12" x14ac:dyDescent="0.3">
      <c r="A16" s="3">
        <v>16</v>
      </c>
      <c r="B16" s="3">
        <v>14930</v>
      </c>
      <c r="C16" s="3">
        <v>15050</v>
      </c>
      <c r="D16" s="3">
        <v>15050</v>
      </c>
      <c r="E16" s="3">
        <v>15300</v>
      </c>
      <c r="F16" s="3" t="s">
        <v>8</v>
      </c>
      <c r="H16" s="2">
        <v>0.13600000000000001</v>
      </c>
      <c r="I16" s="2">
        <v>5.1999999999999998E-2</v>
      </c>
      <c r="J16" s="2">
        <v>9.4740000000000002</v>
      </c>
      <c r="K16" s="2">
        <v>2.5000000000000001E-2</v>
      </c>
      <c r="L16" s="2">
        <v>40</v>
      </c>
    </row>
    <row r="17" spans="1:12" x14ac:dyDescent="0.3">
      <c r="A17" s="3">
        <v>17</v>
      </c>
      <c r="B17" s="3">
        <v>16260</v>
      </c>
      <c r="C17" s="3">
        <v>16390</v>
      </c>
      <c r="D17" s="3">
        <v>16390</v>
      </c>
      <c r="E17" s="3">
        <v>16600</v>
      </c>
      <c r="F17" s="3" t="s">
        <v>10</v>
      </c>
      <c r="H17" s="2">
        <v>0.82</v>
      </c>
      <c r="I17" s="2">
        <v>0.32</v>
      </c>
      <c r="J17" s="2">
        <v>1.56</v>
      </c>
      <c r="K17" s="2">
        <v>0.15390000000000001</v>
      </c>
      <c r="L17" s="2">
        <v>6.49</v>
      </c>
    </row>
    <row r="18" spans="1:12" x14ac:dyDescent="0.3">
      <c r="A18" s="3">
        <v>18</v>
      </c>
      <c r="B18" s="3">
        <v>17180</v>
      </c>
      <c r="C18" s="3">
        <v>17300</v>
      </c>
      <c r="D18" s="3">
        <v>17300</v>
      </c>
      <c r="E18" s="3">
        <v>17540</v>
      </c>
      <c r="F18" s="3" t="s">
        <v>11</v>
      </c>
      <c r="H18" s="2">
        <v>0.40799999999999997</v>
      </c>
      <c r="I18" s="2">
        <v>0.158</v>
      </c>
      <c r="J18" s="2">
        <v>3.1480000000000001</v>
      </c>
      <c r="K18" s="2">
        <v>7.4999999999999997E-2</v>
      </c>
      <c r="L18" s="2">
        <v>13.25</v>
      </c>
    </row>
    <row r="19" spans="1:12" x14ac:dyDescent="0.3">
      <c r="A19" s="3">
        <v>19</v>
      </c>
      <c r="B19" s="3">
        <v>18060</v>
      </c>
      <c r="C19" s="3">
        <v>18210</v>
      </c>
      <c r="D19" s="3">
        <v>18210</v>
      </c>
      <c r="E19" s="3">
        <v>18520</v>
      </c>
      <c r="F19" s="3" t="s">
        <v>7</v>
      </c>
      <c r="H19" s="2">
        <v>0.20300000000000001</v>
      </c>
      <c r="I19" s="2">
        <v>7.8E-2</v>
      </c>
      <c r="J19" s="2">
        <v>6.3689999999999998</v>
      </c>
      <c r="K19" s="2">
        <v>3.6799999999999999E-2</v>
      </c>
      <c r="L19" s="2">
        <v>27.15</v>
      </c>
    </row>
    <row r="20" spans="1:12" x14ac:dyDescent="0.3">
      <c r="A20" s="3">
        <v>20</v>
      </c>
      <c r="B20" s="3">
        <v>18930</v>
      </c>
      <c r="C20" s="3">
        <v>19140</v>
      </c>
      <c r="D20" s="3">
        <v>19140</v>
      </c>
      <c r="E20" s="3">
        <v>19408</v>
      </c>
      <c r="F20" s="3" t="s">
        <v>8</v>
      </c>
      <c r="H20" s="2">
        <v>0.13500000000000001</v>
      </c>
      <c r="I20" s="2">
        <v>5.1999999999999998E-2</v>
      </c>
      <c r="J20" s="2">
        <v>9.67</v>
      </c>
      <c r="K20" s="2">
        <v>2.4E-2</v>
      </c>
      <c r="L20" s="2">
        <v>41.8</v>
      </c>
    </row>
    <row r="21" spans="1:12" x14ac:dyDescent="0.3">
      <c r="A21" s="3">
        <v>21</v>
      </c>
      <c r="B21" s="3">
        <v>20382</v>
      </c>
      <c r="C21" s="3">
        <v>20530</v>
      </c>
      <c r="D21" s="3">
        <v>20530</v>
      </c>
      <c r="E21" s="3">
        <v>20694</v>
      </c>
      <c r="F21" s="3" t="s">
        <v>10</v>
      </c>
      <c r="H21" s="2">
        <v>0.80700000000000005</v>
      </c>
      <c r="I21" s="2">
        <v>0.307</v>
      </c>
      <c r="J21" s="2">
        <v>1.6240000000000001</v>
      </c>
      <c r="K21" s="2">
        <v>0.14099999999999999</v>
      </c>
      <c r="L21" s="2">
        <v>7.0819999999999999</v>
      </c>
    </row>
    <row r="22" spans="1:12" x14ac:dyDescent="0.3">
      <c r="A22" s="3">
        <v>22</v>
      </c>
      <c r="B22" s="3">
        <v>21270</v>
      </c>
      <c r="C22" s="3">
        <v>21430</v>
      </c>
      <c r="D22" s="3">
        <v>21430</v>
      </c>
      <c r="E22" s="3">
        <v>21662</v>
      </c>
      <c r="F22" s="3" t="s">
        <v>11</v>
      </c>
      <c r="H22" s="2">
        <v>0.40200000000000002</v>
      </c>
      <c r="I22" s="2">
        <v>0.153</v>
      </c>
      <c r="J22" s="2">
        <v>3.27</v>
      </c>
      <c r="K22" s="2">
        <v>6.9500000000000006E-2</v>
      </c>
      <c r="L22" s="2">
        <v>14.37</v>
      </c>
    </row>
    <row r="23" spans="1:12" x14ac:dyDescent="0.3">
      <c r="A23" s="3">
        <v>23</v>
      </c>
      <c r="B23" s="3">
        <v>22190</v>
      </c>
      <c r="C23" s="3">
        <v>22300</v>
      </c>
      <c r="D23" s="3">
        <v>22300</v>
      </c>
      <c r="E23" s="3">
        <v>22580</v>
      </c>
      <c r="F23" s="3" t="s">
        <v>7</v>
      </c>
      <c r="H23" s="2">
        <v>0.2</v>
      </c>
      <c r="I23" s="2">
        <v>7.4999999999999997E-2</v>
      </c>
      <c r="J23" s="2">
        <v>6.6470000000000002</v>
      </c>
      <c r="K23" s="2">
        <v>3.3000000000000002E-2</v>
      </c>
      <c r="L23" s="2">
        <v>29.81</v>
      </c>
    </row>
    <row r="24" spans="1:12" x14ac:dyDescent="0.3">
      <c r="A24" s="3">
        <v>24</v>
      </c>
      <c r="B24" s="3">
        <v>23060</v>
      </c>
      <c r="C24" s="3">
        <v>23260</v>
      </c>
      <c r="D24" s="3">
        <v>23260</v>
      </c>
      <c r="E24" s="3">
        <v>23530</v>
      </c>
      <c r="F24" s="3" t="s">
        <v>8</v>
      </c>
      <c r="H24" s="2">
        <v>0.13300000000000001</v>
      </c>
      <c r="I24" s="2">
        <v>4.4999999999999998E-2</v>
      </c>
      <c r="J24" s="2">
        <v>10.058</v>
      </c>
      <c r="K24" s="2">
        <v>2.1999999999999999E-2</v>
      </c>
      <c r="L24" s="2">
        <v>45.59</v>
      </c>
    </row>
    <row r="25" spans="1:12" x14ac:dyDescent="0.3">
      <c r="A25" s="3">
        <v>25</v>
      </c>
      <c r="B25" s="3">
        <v>24480</v>
      </c>
      <c r="C25" s="3">
        <v>24600</v>
      </c>
      <c r="D25" s="3">
        <v>24600</v>
      </c>
      <c r="E25" s="3">
        <v>24770</v>
      </c>
      <c r="F25" s="3" t="s">
        <v>10</v>
      </c>
      <c r="H25" s="2">
        <v>0.79700000000000004</v>
      </c>
      <c r="I25" s="2">
        <v>0.29680000000000001</v>
      </c>
      <c r="J25" s="2">
        <v>1.6839999999999999</v>
      </c>
      <c r="K25" s="2">
        <v>0.13022</v>
      </c>
      <c r="L25" s="2">
        <v>7.68</v>
      </c>
    </row>
    <row r="26" spans="1:12" x14ac:dyDescent="0.3">
      <c r="A26" s="3">
        <v>26</v>
      </c>
      <c r="B26" s="3">
        <v>25356</v>
      </c>
      <c r="C26" s="3">
        <v>25500</v>
      </c>
      <c r="D26" s="3">
        <v>25500</v>
      </c>
      <c r="E26" s="3">
        <v>25750</v>
      </c>
      <c r="F26" s="3" t="s">
        <v>11</v>
      </c>
      <c r="H26" s="2">
        <v>0.39800000000000002</v>
      </c>
      <c r="I26" s="2">
        <v>0.14799999999999999</v>
      </c>
      <c r="J26" s="2">
        <v>3.375</v>
      </c>
      <c r="K26" s="2">
        <v>6.4000000000000001E-2</v>
      </c>
      <c r="L26" s="2">
        <v>15.44</v>
      </c>
    </row>
    <row r="27" spans="1:12" x14ac:dyDescent="0.3">
      <c r="A27" s="3">
        <v>27</v>
      </c>
      <c r="B27" s="3">
        <v>26280</v>
      </c>
      <c r="C27" s="3">
        <v>26450</v>
      </c>
      <c r="D27" s="3">
        <v>26450</v>
      </c>
      <c r="E27" s="3">
        <v>26670</v>
      </c>
      <c r="F27" s="3" t="s">
        <v>7</v>
      </c>
      <c r="H27" s="2">
        <v>0.19700000000000001</v>
      </c>
      <c r="I27" s="2">
        <v>7.1999999999999995E-2</v>
      </c>
      <c r="J27" s="2">
        <v>6.9</v>
      </c>
      <c r="K27" s="2">
        <v>0.03</v>
      </c>
      <c r="L27" s="2">
        <v>32.479999999999997</v>
      </c>
    </row>
    <row r="28" spans="1:12" x14ac:dyDescent="0.3">
      <c r="A28" s="3">
        <v>28</v>
      </c>
      <c r="B28" s="3">
        <v>27180</v>
      </c>
      <c r="C28" s="3">
        <v>27300</v>
      </c>
      <c r="D28" s="3">
        <v>27300</v>
      </c>
      <c r="E28" s="3">
        <v>27600</v>
      </c>
      <c r="F28" s="3" t="s">
        <v>8</v>
      </c>
      <c r="H28" s="2">
        <v>0.13</v>
      </c>
      <c r="I28" s="2">
        <v>4.7E-2</v>
      </c>
      <c r="J28" s="2">
        <v>10.51</v>
      </c>
      <c r="K28" s="2">
        <v>1.9E-2</v>
      </c>
      <c r="L28" s="2">
        <v>50.58</v>
      </c>
    </row>
    <row r="29" spans="1:12" x14ac:dyDescent="0.3">
      <c r="A29" s="3">
        <v>29</v>
      </c>
      <c r="B29" s="3">
        <v>28600</v>
      </c>
      <c r="C29" s="3">
        <v>28700</v>
      </c>
      <c r="D29" s="3">
        <v>28700</v>
      </c>
      <c r="E29" s="3">
        <v>28851</v>
      </c>
      <c r="F29" s="3" t="s">
        <v>10</v>
      </c>
      <c r="H29" s="2">
        <v>0.78700000000000003</v>
      </c>
      <c r="I29" s="2">
        <v>0.28000000000000003</v>
      </c>
      <c r="J29" s="2">
        <v>1.74</v>
      </c>
      <c r="K29" s="2">
        <v>0.12</v>
      </c>
      <c r="L29" s="2">
        <v>8.2899999999999991</v>
      </c>
    </row>
    <row r="30" spans="1:12" x14ac:dyDescent="0.3">
      <c r="A30" s="3">
        <v>30</v>
      </c>
      <c r="B30" s="3">
        <v>29480</v>
      </c>
      <c r="C30" s="3">
        <v>29600</v>
      </c>
      <c r="D30" s="3">
        <v>29600</v>
      </c>
      <c r="E30" s="3">
        <v>29800</v>
      </c>
      <c r="F30" s="3" t="s">
        <v>11</v>
      </c>
      <c r="H30" s="2">
        <v>0.39400000000000002</v>
      </c>
      <c r="I30" s="2">
        <v>0.14199999999999999</v>
      </c>
      <c r="J30" s="2">
        <v>3.51</v>
      </c>
      <c r="K30" s="2">
        <v>5.8999999999999997E-2</v>
      </c>
      <c r="L30" s="2">
        <v>16.899999999999999</v>
      </c>
    </row>
    <row r="31" spans="1:12" x14ac:dyDescent="0.3">
      <c r="A31" s="3">
        <v>31</v>
      </c>
      <c r="B31" s="3">
        <v>31316</v>
      </c>
      <c r="C31" s="3">
        <v>31440</v>
      </c>
      <c r="D31" s="3">
        <v>31440</v>
      </c>
      <c r="E31" s="3">
        <v>31690</v>
      </c>
      <c r="F31" s="3" t="s">
        <v>7</v>
      </c>
      <c r="H31" s="2">
        <v>0.19350000000000001</v>
      </c>
      <c r="I31" s="2">
        <v>6.8500000000000005E-2</v>
      </c>
      <c r="J31" s="2">
        <v>7.2889999999999997</v>
      </c>
      <c r="K31" s="2">
        <v>2.69E-2</v>
      </c>
      <c r="L31" s="2">
        <v>37.14</v>
      </c>
    </row>
    <row r="32" spans="1:12" x14ac:dyDescent="0.3">
      <c r="A32">
        <v>32</v>
      </c>
    </row>
    <row r="33" spans="1:12" x14ac:dyDescent="0.3">
      <c r="A33">
        <v>33</v>
      </c>
      <c r="B33" s="3">
        <v>32690</v>
      </c>
      <c r="C33" s="3">
        <v>32809</v>
      </c>
      <c r="D33" s="3">
        <v>32809</v>
      </c>
      <c r="E33" s="3">
        <v>33000</v>
      </c>
      <c r="F33" t="s">
        <v>10</v>
      </c>
      <c r="H33" s="2">
        <v>0.77500000000000002</v>
      </c>
      <c r="I33" s="2">
        <v>0.27539999999999998</v>
      </c>
      <c r="J33" s="2">
        <v>1.8149999999999999</v>
      </c>
      <c r="K33" s="2">
        <v>0.108</v>
      </c>
      <c r="L33" s="2">
        <v>9.9130000000000003</v>
      </c>
    </row>
    <row r="34" spans="1:12" x14ac:dyDescent="0.3">
      <c r="A34">
        <v>34</v>
      </c>
      <c r="B34" s="3">
        <v>33620</v>
      </c>
      <c r="C34" s="3">
        <v>33730</v>
      </c>
      <c r="D34" s="3">
        <v>33730</v>
      </c>
      <c r="E34" s="3">
        <v>33900</v>
      </c>
      <c r="F34" t="s">
        <v>11</v>
      </c>
      <c r="H34" s="2">
        <v>0.38600000000000001</v>
      </c>
      <c r="I34" s="2">
        <v>0.13600000000000001</v>
      </c>
      <c r="J34" s="2">
        <v>3.6760000000000002</v>
      </c>
      <c r="K34" s="2">
        <v>5.1999999999999998E-2</v>
      </c>
      <c r="L34" s="2">
        <v>18.989999999999998</v>
      </c>
    </row>
    <row r="35" spans="1:12" x14ac:dyDescent="0.3">
      <c r="A35">
        <v>35</v>
      </c>
      <c r="B35" s="3">
        <v>34480</v>
      </c>
      <c r="C35" s="3">
        <v>35620</v>
      </c>
      <c r="D35" s="3">
        <v>34620</v>
      </c>
      <c r="E35" s="3">
        <v>34880</v>
      </c>
      <c r="F35" t="s">
        <v>7</v>
      </c>
      <c r="H35" s="2">
        <v>0.192</v>
      </c>
      <c r="I35" s="2">
        <v>6.7000000000000004E-2</v>
      </c>
      <c r="J35" s="2">
        <v>7.4459999999999997</v>
      </c>
      <c r="K35" s="2">
        <v>2.5000000000000001E-2</v>
      </c>
      <c r="L35" s="2">
        <v>39.24</v>
      </c>
    </row>
    <row r="36" spans="1:12" x14ac:dyDescent="0.3">
      <c r="A36">
        <v>36</v>
      </c>
      <c r="B36" s="3">
        <v>35385</v>
      </c>
      <c r="C36" s="3">
        <v>35520</v>
      </c>
      <c r="D36" s="3">
        <v>35520</v>
      </c>
      <c r="E36" s="3">
        <v>35820</v>
      </c>
      <c r="F36" t="s">
        <v>8</v>
      </c>
      <c r="H36" s="2">
        <v>0.12720000000000001</v>
      </c>
      <c r="I36" s="2">
        <v>4.3900000000000002E-2</v>
      </c>
      <c r="J36" s="2">
        <v>11.38</v>
      </c>
      <c r="K36" s="2">
        <v>1.6E-2</v>
      </c>
      <c r="L36" s="2">
        <v>61.96</v>
      </c>
    </row>
    <row r="37" spans="1:12" x14ac:dyDescent="0.3">
      <c r="A37">
        <v>37</v>
      </c>
      <c r="B37" s="3">
        <v>36770</v>
      </c>
      <c r="C37" s="3">
        <v>36910</v>
      </c>
      <c r="D37" s="3">
        <v>36910</v>
      </c>
      <c r="E37" s="3">
        <v>37080</v>
      </c>
      <c r="F37" t="s">
        <v>10</v>
      </c>
      <c r="H37" s="2">
        <v>0.75900000000000001</v>
      </c>
      <c r="I37" s="2">
        <v>0.25900000000000001</v>
      </c>
      <c r="J37" s="2">
        <v>1.93</v>
      </c>
      <c r="K37" s="2">
        <v>9.1999999999999998E-2</v>
      </c>
      <c r="L37" s="2">
        <v>10.88</v>
      </c>
    </row>
    <row r="38" spans="1:12" x14ac:dyDescent="0.3">
      <c r="A38">
        <v>38</v>
      </c>
      <c r="B38" s="3">
        <v>37680</v>
      </c>
      <c r="C38" s="3">
        <v>37850</v>
      </c>
      <c r="D38" s="3">
        <v>37850</v>
      </c>
      <c r="E38" s="3">
        <v>38025</v>
      </c>
      <c r="F38" t="s">
        <v>11</v>
      </c>
      <c r="H38" s="2">
        <v>0.377</v>
      </c>
      <c r="I38" s="2">
        <v>0.127</v>
      </c>
      <c r="J38" s="2">
        <v>3.9350000000000001</v>
      </c>
      <c r="K38" s="2">
        <v>4.3700000000000003E-2</v>
      </c>
      <c r="L38" s="2">
        <v>22.87</v>
      </c>
    </row>
    <row r="39" spans="1:12" x14ac:dyDescent="0.3">
      <c r="A39">
        <v>39</v>
      </c>
      <c r="B39" s="1">
        <v>38580</v>
      </c>
      <c r="C39" s="1">
        <v>38730</v>
      </c>
      <c r="D39" s="1">
        <v>38730</v>
      </c>
      <c r="E39" s="1">
        <v>39010</v>
      </c>
      <c r="F39" t="s">
        <v>7</v>
      </c>
      <c r="H39" s="2">
        <v>0.18673799999999999</v>
      </c>
      <c r="I39" s="2">
        <v>6.0999999999999999E-2</v>
      </c>
      <c r="J39" s="2">
        <v>8.0980000000000008</v>
      </c>
      <c r="K39" s="2">
        <v>0.02</v>
      </c>
      <c r="L39" s="2">
        <v>49.82</v>
      </c>
    </row>
    <row r="40" spans="1:12" x14ac:dyDescent="0.3">
      <c r="A40">
        <v>40</v>
      </c>
      <c r="B40" s="1">
        <v>39520</v>
      </c>
      <c r="C40" s="1">
        <v>39620</v>
      </c>
      <c r="D40" s="1">
        <v>39620</v>
      </c>
      <c r="E40" s="1">
        <v>39890</v>
      </c>
      <c r="F40" t="s">
        <v>8</v>
      </c>
      <c r="H40" s="2">
        <v>0.12357</v>
      </c>
      <c r="I40" s="2">
        <v>4.02E-2</v>
      </c>
      <c r="J40" s="2">
        <v>12.42</v>
      </c>
      <c r="K40" s="2">
        <v>1.2500000000000001E-2</v>
      </c>
      <c r="L40" s="2">
        <v>80.209999999999994</v>
      </c>
    </row>
    <row r="41" spans="1:12" x14ac:dyDescent="0.3">
      <c r="A41">
        <v>41</v>
      </c>
      <c r="B41" s="1">
        <v>40810</v>
      </c>
      <c r="C41" s="1">
        <v>40910</v>
      </c>
      <c r="D41" s="1">
        <v>40910</v>
      </c>
      <c r="E41" s="1">
        <v>41054</v>
      </c>
      <c r="F41" t="s">
        <v>10</v>
      </c>
      <c r="H41" s="2">
        <v>0.123</v>
      </c>
      <c r="I41" s="2">
        <v>3.9899999999999998E-2</v>
      </c>
      <c r="J41" s="2">
        <v>12.5</v>
      </c>
      <c r="K41" s="2">
        <v>1.2200000000000001E-2</v>
      </c>
      <c r="L41" s="2">
        <v>81.849999999999994</v>
      </c>
    </row>
    <row r="42" spans="1:12" x14ac:dyDescent="0.3">
      <c r="A42">
        <v>42</v>
      </c>
      <c r="B42" s="1">
        <v>41710</v>
      </c>
      <c r="C42" s="1">
        <v>41840</v>
      </c>
      <c r="D42" s="1">
        <v>41840</v>
      </c>
      <c r="E42" s="1">
        <v>42050</v>
      </c>
      <c r="F42" t="s">
        <v>11</v>
      </c>
      <c r="H42" s="2">
        <v>0.36599999999999999</v>
      </c>
      <c r="I42" s="2">
        <v>0.11600000000000001</v>
      </c>
      <c r="J42" s="2">
        <v>4.282</v>
      </c>
      <c r="K42" s="2">
        <v>3.3399999999999999E-2</v>
      </c>
      <c r="L42" s="2">
        <v>29.93</v>
      </c>
    </row>
    <row r="43" spans="1:12" x14ac:dyDescent="0.3">
      <c r="A43">
        <v>43</v>
      </c>
      <c r="B43" s="1">
        <v>42610</v>
      </c>
      <c r="C43" s="1">
        <v>42725</v>
      </c>
      <c r="D43" s="1">
        <v>42725</v>
      </c>
      <c r="E43" s="1">
        <v>42929</v>
      </c>
      <c r="F43" t="s">
        <v>7</v>
      </c>
      <c r="H43" s="2">
        <v>0.1825</v>
      </c>
      <c r="I43" s="2">
        <v>5.7000000000000002E-2</v>
      </c>
      <c r="J43" s="2">
        <v>8.68</v>
      </c>
      <c r="K43" s="2">
        <v>1.5900000000000001E-2</v>
      </c>
      <c r="L43" s="2">
        <v>62.872999999999998</v>
      </c>
    </row>
    <row r="44" spans="1:12" x14ac:dyDescent="0.3">
      <c r="A44">
        <v>44</v>
      </c>
      <c r="B44" s="1">
        <v>43508</v>
      </c>
      <c r="C44" s="1">
        <v>43540</v>
      </c>
      <c r="D44" s="1">
        <v>43540</v>
      </c>
      <c r="E44" s="1">
        <v>43640</v>
      </c>
      <c r="F44" t="s">
        <v>8</v>
      </c>
      <c r="H44" s="2">
        <v>0.123</v>
      </c>
      <c r="I44" s="2">
        <v>3.9E-2</v>
      </c>
      <c r="J44" s="2">
        <v>12.632999999999999</v>
      </c>
      <c r="K44" s="2">
        <v>1.2E-2</v>
      </c>
      <c r="L44" s="2">
        <v>84.754999999999995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A12" sqref="A12"/>
    </sheetView>
  </sheetViews>
  <sheetFormatPr defaultRowHeight="14.4" x14ac:dyDescent="0.3"/>
  <sheetData>
    <row r="1" spans="1:6" x14ac:dyDescent="0.3">
      <c r="A1" t="s">
        <v>12</v>
      </c>
      <c r="B1" t="s">
        <v>13</v>
      </c>
      <c r="C1" t="s">
        <v>16</v>
      </c>
      <c r="D1" t="s">
        <v>14</v>
      </c>
      <c r="E1" t="s">
        <v>15</v>
      </c>
      <c r="F1" t="s">
        <v>9</v>
      </c>
    </row>
    <row r="2" spans="1:6" x14ac:dyDescent="0.3">
      <c r="A2" s="2">
        <v>0.84</v>
      </c>
      <c r="B2" s="2">
        <v>0.34</v>
      </c>
      <c r="C2" s="2">
        <v>1.47</v>
      </c>
      <c r="D2" s="2">
        <v>0.17399999999999999</v>
      </c>
      <c r="E2" s="2">
        <v>5.7329999999999997</v>
      </c>
    </row>
    <row r="3" spans="1:6" x14ac:dyDescent="0.3">
      <c r="A3" s="2">
        <v>0.83899999999999997</v>
      </c>
      <c r="B3" s="2">
        <v>0.33900000000000002</v>
      </c>
      <c r="C3" s="2">
        <v>1.47</v>
      </c>
      <c r="D3" s="2">
        <v>0.17199999999999999</v>
      </c>
      <c r="E3" s="2">
        <v>5.79</v>
      </c>
    </row>
    <row r="4" spans="1:6" x14ac:dyDescent="0.3">
      <c r="A4" s="2">
        <v>0.83</v>
      </c>
      <c r="B4" s="2">
        <v>0.33</v>
      </c>
      <c r="C4" s="2">
        <v>1.5109999999999999</v>
      </c>
      <c r="D4" s="2">
        <v>0.16400000000000001</v>
      </c>
      <c r="E4" s="2">
        <v>6.09</v>
      </c>
    </row>
    <row r="5" spans="1:6" x14ac:dyDescent="0.3">
      <c r="A5" s="2">
        <v>0.82</v>
      </c>
      <c r="B5" s="2">
        <v>0.32</v>
      </c>
      <c r="C5" s="2">
        <v>1.56</v>
      </c>
      <c r="D5" s="2">
        <v>0.15390000000000001</v>
      </c>
      <c r="E5" s="2">
        <v>6.49</v>
      </c>
    </row>
    <row r="6" spans="1:6" x14ac:dyDescent="0.3">
      <c r="A6" s="2">
        <v>0.80700000000000005</v>
      </c>
      <c r="B6" s="2">
        <v>0.307</v>
      </c>
      <c r="C6" s="2">
        <v>1.6240000000000001</v>
      </c>
      <c r="D6" s="2">
        <v>0.14099999999999999</v>
      </c>
      <c r="E6" s="2">
        <v>7.0819999999999999</v>
      </c>
    </row>
    <row r="7" spans="1:6" x14ac:dyDescent="0.3">
      <c r="A7" s="2">
        <v>0.79700000000000004</v>
      </c>
      <c r="B7" s="2">
        <v>0.29680000000000001</v>
      </c>
      <c r="C7" s="2">
        <v>1.6839999999999999</v>
      </c>
      <c r="D7" s="2">
        <v>0.13022</v>
      </c>
      <c r="E7" s="2">
        <v>7.68</v>
      </c>
    </row>
    <row r="8" spans="1:6" x14ac:dyDescent="0.3">
      <c r="A8" s="2">
        <v>0.78700000000000003</v>
      </c>
      <c r="B8" s="2">
        <v>0.28000000000000003</v>
      </c>
      <c r="C8" s="2">
        <v>1.74</v>
      </c>
      <c r="D8" s="2">
        <v>0.12</v>
      </c>
      <c r="E8" s="2">
        <v>8.2899999999999991</v>
      </c>
    </row>
    <row r="9" spans="1:6" x14ac:dyDescent="0.3">
      <c r="A9" s="2">
        <v>0.77500000000000002</v>
      </c>
      <c r="B9" s="2">
        <v>0.27539999999999998</v>
      </c>
      <c r="C9" s="2">
        <v>1.8149999999999999</v>
      </c>
      <c r="D9" s="2">
        <v>0.108</v>
      </c>
      <c r="E9" s="2">
        <v>9.9130000000000003</v>
      </c>
    </row>
    <row r="10" spans="1:6" x14ac:dyDescent="0.3">
      <c r="A10" s="2">
        <v>0.75900000000000001</v>
      </c>
      <c r="B10" s="2">
        <v>0.25900000000000001</v>
      </c>
      <c r="C10" s="2">
        <v>1.93</v>
      </c>
      <c r="D10" s="2">
        <v>9.1999999999999998E-2</v>
      </c>
      <c r="E10" s="2">
        <v>10.88</v>
      </c>
    </row>
    <row r="11" spans="1:6" x14ac:dyDescent="0.3">
      <c r="A11" s="2">
        <v>0.123</v>
      </c>
      <c r="B11" s="2">
        <v>3.9899999999999998E-2</v>
      </c>
      <c r="C11" s="2">
        <v>12.5</v>
      </c>
      <c r="D11" s="2">
        <v>1.2200000000000001E-2</v>
      </c>
      <c r="E11" s="2">
        <v>81.849999999999994</v>
      </c>
    </row>
    <row r="12" spans="1:6" x14ac:dyDescent="0.3">
      <c r="A12" s="4">
        <f>AVERAGE(A1:A11)</f>
        <v>0.73770000000000002</v>
      </c>
      <c r="B12" s="4">
        <f>AVERAGE(B1:B11)</f>
        <v>0.27870999999999996</v>
      </c>
      <c r="C12" s="4">
        <f>AVERAGE(C1:C11)</f>
        <v>2.7303999999999999</v>
      </c>
      <c r="D12" s="4">
        <f>AVERAGE(D1:D11)</f>
        <v>0.12673200000000001</v>
      </c>
      <c r="E12" s="4">
        <f>AVERAGE(E1:E11)</f>
        <v>14.979800000000001</v>
      </c>
      <c r="F1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A13" sqref="A13:E13"/>
    </sheetView>
  </sheetViews>
  <sheetFormatPr defaultRowHeight="14.4" x14ac:dyDescent="0.3"/>
  <sheetData>
    <row r="1" spans="1:6" x14ac:dyDescent="0.3">
      <c r="A1" t="s">
        <v>12</v>
      </c>
      <c r="B1" t="s">
        <v>13</v>
      </c>
      <c r="C1" t="s">
        <v>16</v>
      </c>
      <c r="D1" t="s">
        <v>14</v>
      </c>
      <c r="E1" t="s">
        <v>15</v>
      </c>
      <c r="F1" t="s">
        <v>6</v>
      </c>
    </row>
    <row r="2" spans="1:6" x14ac:dyDescent="0.3">
      <c r="A2" s="2">
        <v>0.42</v>
      </c>
      <c r="B2" s="2">
        <v>0.17299999999999999</v>
      </c>
      <c r="C2" s="2">
        <v>2.88</v>
      </c>
      <c r="D2" s="2">
        <v>8.8999999999999996E-2</v>
      </c>
      <c r="E2" s="2">
        <v>11.137</v>
      </c>
    </row>
    <row r="3" spans="1:6" x14ac:dyDescent="0.3">
      <c r="A3" s="2">
        <v>0.41899999999999998</v>
      </c>
      <c r="B3" s="2">
        <v>0.16900000000000001</v>
      </c>
      <c r="C3" s="2">
        <v>2.95</v>
      </c>
      <c r="D3" s="2">
        <v>8.5000000000000006E-2</v>
      </c>
      <c r="E3" s="2">
        <v>11.65</v>
      </c>
    </row>
    <row r="4" spans="1:6" x14ac:dyDescent="0.3">
      <c r="A4" s="2">
        <v>0.41770000000000002</v>
      </c>
      <c r="B4" s="2">
        <v>0.16769999999999999</v>
      </c>
      <c r="C4" s="2">
        <v>2.98</v>
      </c>
      <c r="D4" s="2">
        <v>8.4000000000000005E-2</v>
      </c>
      <c r="E4" s="2">
        <v>11.84</v>
      </c>
    </row>
    <row r="5" spans="1:6" x14ac:dyDescent="0.3">
      <c r="A5" s="2">
        <v>0.41370000000000001</v>
      </c>
      <c r="B5" s="2">
        <v>0.16370000000000001</v>
      </c>
      <c r="C5" s="2">
        <v>3.0529999999999999</v>
      </c>
      <c r="D5" s="2">
        <v>0.08</v>
      </c>
      <c r="E5" s="2">
        <v>12.43</v>
      </c>
    </row>
    <row r="6" spans="1:6" x14ac:dyDescent="0.3">
      <c r="A6" s="2">
        <v>0.40799999999999997</v>
      </c>
      <c r="B6" s="2">
        <v>0.158</v>
      </c>
      <c r="C6" s="2">
        <v>3.1480000000000001</v>
      </c>
      <c r="D6" s="2">
        <v>7.4999999999999997E-2</v>
      </c>
      <c r="E6" s="2">
        <v>13.25</v>
      </c>
    </row>
    <row r="7" spans="1:6" x14ac:dyDescent="0.3">
      <c r="A7" s="2">
        <v>0.40200000000000002</v>
      </c>
      <c r="B7" s="2">
        <v>0.153</v>
      </c>
      <c r="C7" s="2">
        <v>3.27</v>
      </c>
      <c r="D7" s="2">
        <v>6.9500000000000006E-2</v>
      </c>
      <c r="E7" s="2">
        <v>14.37</v>
      </c>
    </row>
    <row r="8" spans="1:6" x14ac:dyDescent="0.3">
      <c r="A8" s="2">
        <v>0.39800000000000002</v>
      </c>
      <c r="B8" s="2">
        <v>0.14799999999999999</v>
      </c>
      <c r="C8" s="2">
        <v>3.375</v>
      </c>
      <c r="D8" s="2">
        <v>6.4000000000000001E-2</v>
      </c>
      <c r="E8" s="2">
        <v>15.44</v>
      </c>
    </row>
    <row r="9" spans="1:6" x14ac:dyDescent="0.3">
      <c r="A9" s="2">
        <v>0.39400000000000002</v>
      </c>
      <c r="B9" s="2">
        <v>0.14199999999999999</v>
      </c>
      <c r="C9" s="2">
        <v>3.51</v>
      </c>
      <c r="D9" s="2">
        <v>5.8999999999999997E-2</v>
      </c>
      <c r="E9" s="2">
        <v>16.899999999999999</v>
      </c>
    </row>
    <row r="10" spans="1:6" x14ac:dyDescent="0.3">
      <c r="A10" s="2">
        <v>0.38600000000000001</v>
      </c>
      <c r="B10" s="2">
        <v>0.13600000000000001</v>
      </c>
      <c r="C10" s="2">
        <v>3.6760000000000002</v>
      </c>
      <c r="D10" s="2">
        <v>5.1999999999999998E-2</v>
      </c>
      <c r="E10" s="2">
        <v>18.989999999999998</v>
      </c>
    </row>
    <row r="11" spans="1:6" x14ac:dyDescent="0.3">
      <c r="A11" s="2">
        <v>0.377</v>
      </c>
      <c r="B11" s="2">
        <v>0.127</v>
      </c>
      <c r="C11" s="2">
        <v>3.9350000000000001</v>
      </c>
      <c r="D11" s="2">
        <v>4.3700000000000003E-2</v>
      </c>
      <c r="E11" s="2">
        <v>22.87</v>
      </c>
    </row>
    <row r="12" spans="1:6" x14ac:dyDescent="0.3">
      <c r="A12" s="2">
        <v>0.36599999999999999</v>
      </c>
      <c r="B12" s="2">
        <v>0.11600000000000001</v>
      </c>
      <c r="C12" s="2">
        <v>4.282</v>
      </c>
      <c r="D12" s="2">
        <v>3.3399999999999999E-2</v>
      </c>
      <c r="E12" s="2">
        <v>29.93</v>
      </c>
    </row>
    <row r="13" spans="1:6" x14ac:dyDescent="0.3">
      <c r="A13" s="4">
        <f>AVERAGE(A2:A12)</f>
        <v>0.40012727272727272</v>
      </c>
      <c r="B13" s="4">
        <f>AVERAGE(B2:B12)</f>
        <v>0.15030909090909092</v>
      </c>
      <c r="C13" s="4">
        <f>AVERAGE(C2:C12)</f>
        <v>3.3689999999999998</v>
      </c>
      <c r="D13" s="4">
        <f>AVERAGE(D2:D12)</f>
        <v>6.6781818181818178E-2</v>
      </c>
      <c r="E13" s="4">
        <f>AVERAGE(E2:E12)</f>
        <v>16.255181818181818</v>
      </c>
      <c r="F13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A13" sqref="A13:E13"/>
    </sheetView>
  </sheetViews>
  <sheetFormatPr defaultRowHeight="14.4" x14ac:dyDescent="0.3"/>
  <sheetData>
    <row r="1" spans="1:6" x14ac:dyDescent="0.3">
      <c r="A1" t="s">
        <v>12</v>
      </c>
      <c r="B1" t="s">
        <v>13</v>
      </c>
      <c r="C1" t="s">
        <v>16</v>
      </c>
      <c r="D1" t="s">
        <v>14</v>
      </c>
      <c r="E1" t="s">
        <v>15</v>
      </c>
      <c r="F1" t="s">
        <v>7</v>
      </c>
    </row>
    <row r="2" spans="1:6" x14ac:dyDescent="0.3">
      <c r="A2" s="2">
        <v>0.21</v>
      </c>
      <c r="B2" s="2">
        <v>8.5000000000000006E-2</v>
      </c>
      <c r="C2" s="2">
        <v>5.87</v>
      </c>
      <c r="D2" s="2">
        <v>4.2999999999999997E-2</v>
      </c>
      <c r="E2" s="2">
        <v>22.99</v>
      </c>
    </row>
    <row r="3" spans="1:6" x14ac:dyDescent="0.3">
      <c r="A3" s="2">
        <v>0.20749999999999999</v>
      </c>
      <c r="B3" s="2">
        <v>8.2000000000000003E-2</v>
      </c>
      <c r="C3" s="2">
        <v>6.06</v>
      </c>
      <c r="D3" s="2">
        <v>4.0800000000000003E-2</v>
      </c>
      <c r="E3" s="2">
        <v>24.49</v>
      </c>
    </row>
    <row r="4" spans="1:6" x14ac:dyDescent="0.3">
      <c r="A4" s="2">
        <v>0.20799999999999999</v>
      </c>
      <c r="B4" s="2">
        <v>8.3500000000000005E-2</v>
      </c>
      <c r="C4" s="2">
        <v>5.9859999999999998</v>
      </c>
      <c r="D4" s="2">
        <v>4.1799999999999997E-2</v>
      </c>
      <c r="E4" s="2">
        <v>23.89</v>
      </c>
    </row>
    <row r="5" spans="1:6" x14ac:dyDescent="0.3">
      <c r="A5" s="2">
        <v>0.20499999999999999</v>
      </c>
      <c r="B5" s="2">
        <v>0.08</v>
      </c>
      <c r="C5" s="2">
        <v>6.2190000000000003</v>
      </c>
      <c r="D5" s="2">
        <v>3.7999999999999999E-2</v>
      </c>
      <c r="E5" s="2">
        <v>25.82</v>
      </c>
    </row>
    <row r="6" spans="1:6" x14ac:dyDescent="0.3">
      <c r="A6" s="2">
        <v>0.20300000000000001</v>
      </c>
      <c r="B6" s="2">
        <v>7.8E-2</v>
      </c>
      <c r="C6" s="2">
        <v>6.3689999999999998</v>
      </c>
      <c r="D6" s="2">
        <v>3.6799999999999999E-2</v>
      </c>
      <c r="E6" s="2">
        <v>27.15</v>
      </c>
    </row>
    <row r="7" spans="1:6" x14ac:dyDescent="0.3">
      <c r="A7" s="2">
        <v>0.2</v>
      </c>
      <c r="B7" s="2">
        <v>7.4999999999999997E-2</v>
      </c>
      <c r="C7" s="2">
        <v>6.6470000000000002</v>
      </c>
      <c r="D7" s="2">
        <v>3.3000000000000002E-2</v>
      </c>
      <c r="E7" s="2">
        <v>29.81</v>
      </c>
    </row>
    <row r="8" spans="1:6" x14ac:dyDescent="0.3">
      <c r="A8" s="2">
        <v>0.19700000000000001</v>
      </c>
      <c r="B8" s="2">
        <v>7.1999999999999995E-2</v>
      </c>
      <c r="C8" s="2">
        <v>6.9</v>
      </c>
      <c r="D8" s="2">
        <v>0.03</v>
      </c>
      <c r="E8" s="2">
        <v>32.479999999999997</v>
      </c>
    </row>
    <row r="9" spans="1:6" x14ac:dyDescent="0.3">
      <c r="A9" s="2">
        <v>0.19350000000000001</v>
      </c>
      <c r="B9" s="2">
        <v>6.8500000000000005E-2</v>
      </c>
      <c r="C9" s="2">
        <v>7.2889999999999997</v>
      </c>
      <c r="D9" s="2">
        <v>2.69E-2</v>
      </c>
      <c r="E9" s="2">
        <v>37.14</v>
      </c>
    </row>
    <row r="10" spans="1:6" x14ac:dyDescent="0.3">
      <c r="A10" s="2">
        <v>0.192</v>
      </c>
      <c r="B10" s="2">
        <v>6.7000000000000004E-2</v>
      </c>
      <c r="C10" s="2">
        <v>7.4459999999999997</v>
      </c>
      <c r="D10" s="2">
        <v>2.5000000000000001E-2</v>
      </c>
      <c r="E10" s="2">
        <v>39.24</v>
      </c>
    </row>
    <row r="11" spans="1:6" x14ac:dyDescent="0.3">
      <c r="A11" s="2">
        <v>0.18673799999999999</v>
      </c>
      <c r="B11" s="2">
        <v>6.0999999999999999E-2</v>
      </c>
      <c r="C11" s="2">
        <v>8.0980000000000008</v>
      </c>
      <c r="D11" s="2">
        <v>0.02</v>
      </c>
      <c r="E11" s="2">
        <v>49.82</v>
      </c>
    </row>
    <row r="12" spans="1:6" x14ac:dyDescent="0.3">
      <c r="A12" s="2">
        <v>0.1825</v>
      </c>
      <c r="B12" s="2">
        <v>5.7000000000000002E-2</v>
      </c>
      <c r="C12" s="2">
        <v>8.68</v>
      </c>
      <c r="D12" s="2">
        <v>1.5900000000000001E-2</v>
      </c>
      <c r="E12" s="2">
        <v>62.872999999999998</v>
      </c>
    </row>
    <row r="13" spans="1:6" x14ac:dyDescent="0.3">
      <c r="A13" s="4">
        <f>AVERAGE(A2:A12)</f>
        <v>0.198658</v>
      </c>
      <c r="B13" s="4">
        <f>AVERAGE(B2:B12)</f>
        <v>7.3545454545454553E-2</v>
      </c>
      <c r="C13" s="4">
        <f>AVERAGE(C2:C12)</f>
        <v>6.8694545454545448</v>
      </c>
      <c r="D13" s="4">
        <f>AVERAGE(D2:D12)</f>
        <v>3.1927272727272728E-2</v>
      </c>
      <c r="E13" s="4">
        <f>AVERAGE(E2:E12)</f>
        <v>34.154818181818179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A16" sqref="A16"/>
    </sheetView>
  </sheetViews>
  <sheetFormatPr defaultRowHeight="14.4" x14ac:dyDescent="0.3"/>
  <sheetData>
    <row r="1" spans="1:6" x14ac:dyDescent="0.3">
      <c r="A1" t="s">
        <v>12</v>
      </c>
      <c r="B1" t="s">
        <v>13</v>
      </c>
      <c r="C1" t="s">
        <v>16</v>
      </c>
      <c r="D1" t="s">
        <v>14</v>
      </c>
      <c r="E1" t="s">
        <v>15</v>
      </c>
      <c r="F1" t="s">
        <v>8</v>
      </c>
    </row>
    <row r="2" spans="1:6" x14ac:dyDescent="0.3">
      <c r="A2" s="2">
        <v>0.13900000000000001</v>
      </c>
      <c r="B2" s="2">
        <v>5.5E-2</v>
      </c>
      <c r="C2" s="2">
        <v>8.9600000000000009</v>
      </c>
      <c r="D2" s="2">
        <v>2.8000000000000001E-2</v>
      </c>
      <c r="E2" s="2">
        <v>35.71</v>
      </c>
    </row>
    <row r="3" spans="1:6" x14ac:dyDescent="0.3">
      <c r="A3" s="2">
        <v>0.13800000000000001</v>
      </c>
      <c r="B3" s="2">
        <v>5.5E-2</v>
      </c>
      <c r="C3" s="2">
        <v>9.0370000000000008</v>
      </c>
      <c r="D3" s="2">
        <v>2.7E-2</v>
      </c>
      <c r="E3" s="2">
        <v>36.299999999999997</v>
      </c>
    </row>
    <row r="4" spans="1:6" x14ac:dyDescent="0.3">
      <c r="A4" s="2">
        <v>0.13750000000000001</v>
      </c>
      <c r="B4" s="2">
        <v>5.3999999999999999E-2</v>
      </c>
      <c r="C4" s="2">
        <v>9.23</v>
      </c>
      <c r="D4" s="2">
        <v>2.63E-2</v>
      </c>
      <c r="E4" s="2">
        <v>37.89</v>
      </c>
    </row>
    <row r="5" spans="1:6" x14ac:dyDescent="0.3">
      <c r="A5" s="2">
        <v>0.13600000000000001</v>
      </c>
      <c r="B5" s="2">
        <v>5.1999999999999998E-2</v>
      </c>
      <c r="C5" s="2">
        <v>9.4740000000000002</v>
      </c>
      <c r="D5" s="2">
        <v>2.5000000000000001E-2</v>
      </c>
      <c r="E5" s="2">
        <v>40</v>
      </c>
    </row>
    <row r="6" spans="1:6" x14ac:dyDescent="0.3">
      <c r="A6" s="2">
        <v>0.13500000000000001</v>
      </c>
      <c r="B6" s="2">
        <v>5.1999999999999998E-2</v>
      </c>
      <c r="C6" s="2">
        <v>9.67</v>
      </c>
      <c r="D6" s="2">
        <v>2.4E-2</v>
      </c>
      <c r="E6" s="2">
        <v>41.8</v>
      </c>
    </row>
    <row r="7" spans="1:6" x14ac:dyDescent="0.3">
      <c r="A7" s="2">
        <v>0.13300000000000001</v>
      </c>
      <c r="B7" s="2">
        <v>4.4999999999999998E-2</v>
      </c>
      <c r="C7" s="2">
        <v>10.058</v>
      </c>
      <c r="D7" s="2">
        <v>2.1999999999999999E-2</v>
      </c>
      <c r="E7" s="2">
        <v>45.59</v>
      </c>
    </row>
    <row r="8" spans="1:6" x14ac:dyDescent="0.3">
      <c r="A8" s="2">
        <v>0.13</v>
      </c>
      <c r="B8" s="2">
        <v>4.7E-2</v>
      </c>
      <c r="C8" s="2">
        <v>10.51</v>
      </c>
      <c r="D8" s="2">
        <v>1.9E-2</v>
      </c>
      <c r="E8" s="2">
        <v>50.58</v>
      </c>
    </row>
    <row r="9" spans="1:6" x14ac:dyDescent="0.3">
      <c r="A9" s="2">
        <v>0.12720000000000001</v>
      </c>
      <c r="B9" s="2">
        <v>4.3900000000000002E-2</v>
      </c>
      <c r="C9" s="2">
        <v>11.38</v>
      </c>
      <c r="D9" s="2">
        <v>1.6E-2</v>
      </c>
      <c r="E9" s="2">
        <v>61.96</v>
      </c>
    </row>
    <row r="10" spans="1:6" x14ac:dyDescent="0.3">
      <c r="A10" s="2">
        <v>0.12357</v>
      </c>
      <c r="B10" s="2">
        <v>4.02E-2</v>
      </c>
      <c r="C10" s="2">
        <v>12.42</v>
      </c>
      <c r="D10" s="2">
        <v>1.2500000000000001E-2</v>
      </c>
      <c r="E10" s="2">
        <v>80.209999999999994</v>
      </c>
    </row>
    <row r="11" spans="1:6" x14ac:dyDescent="0.3">
      <c r="A11" s="2">
        <v>0.123</v>
      </c>
      <c r="B11" s="2">
        <v>3.9E-2</v>
      </c>
      <c r="C11" s="2">
        <v>12.632999999999999</v>
      </c>
      <c r="D11" s="2">
        <v>1.2E-2</v>
      </c>
      <c r="E11" s="2">
        <v>84.754999999999995</v>
      </c>
    </row>
    <row r="12" spans="1:6" x14ac:dyDescent="0.3">
      <c r="A12" s="4">
        <f>AVERAGE(A1:A11)</f>
        <v>0.13222700000000001</v>
      </c>
      <c r="B12" s="4">
        <f>AVERAGE(B1:B11)</f>
        <v>4.8309999999999999E-2</v>
      </c>
      <c r="C12" s="4">
        <f>AVERAGE(C1:C11)</f>
        <v>10.337199999999999</v>
      </c>
      <c r="D12" s="4">
        <f>AVERAGE(D1:D11)</f>
        <v>2.1179999999999997E-2</v>
      </c>
      <c r="E12" s="4">
        <f>AVERAGE(E1:E11)</f>
        <v>51.479499999999994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tabSelected="1" topLeftCell="A13" workbookViewId="0">
      <selection activeCell="N39" sqref="N39"/>
    </sheetView>
  </sheetViews>
  <sheetFormatPr defaultRowHeight="14.4" x14ac:dyDescent="0.3"/>
  <cols>
    <col min="14" max="14" width="44.21875" customWidth="1"/>
  </cols>
  <sheetData>
    <row r="1" spans="1:6" x14ac:dyDescent="0.3">
      <c r="B1" t="s">
        <v>12</v>
      </c>
      <c r="C1" t="s">
        <v>13</v>
      </c>
      <c r="D1" t="s">
        <v>22</v>
      </c>
      <c r="E1" t="s">
        <v>14</v>
      </c>
      <c r="F1" t="s">
        <v>23</v>
      </c>
    </row>
    <row r="2" spans="1:6" x14ac:dyDescent="0.3">
      <c r="A2" t="s">
        <v>18</v>
      </c>
      <c r="B2">
        <v>0.73770000000000002</v>
      </c>
      <c r="C2">
        <v>0.2787</v>
      </c>
      <c r="D2">
        <v>2.7303999999999999</v>
      </c>
      <c r="E2">
        <v>0.12670000000000001</v>
      </c>
      <c r="F2">
        <v>14.97</v>
      </c>
    </row>
    <row r="3" spans="1:6" x14ac:dyDescent="0.3">
      <c r="A3" t="s">
        <v>19</v>
      </c>
      <c r="B3">
        <v>0.4</v>
      </c>
      <c r="C3">
        <v>0.15</v>
      </c>
      <c r="D3">
        <v>3.3690000000000002</v>
      </c>
      <c r="E3">
        <v>6.6699999999999995E-2</v>
      </c>
      <c r="F3">
        <v>16.254999999999999</v>
      </c>
    </row>
    <row r="4" spans="1:6" x14ac:dyDescent="0.3">
      <c r="A4" t="s">
        <v>20</v>
      </c>
      <c r="B4">
        <v>0.19800000000000001</v>
      </c>
      <c r="C4">
        <v>7.3499999999999996E-2</v>
      </c>
      <c r="D4">
        <v>6.8689999999999998</v>
      </c>
      <c r="E4">
        <v>3.2000000000000001E-2</v>
      </c>
      <c r="F4">
        <v>34.154000000000003</v>
      </c>
    </row>
    <row r="5" spans="1:6" x14ac:dyDescent="0.3">
      <c r="A5" t="s">
        <v>21</v>
      </c>
      <c r="B5">
        <v>0.13200000000000001</v>
      </c>
      <c r="C5">
        <v>4.8000000000000001E-2</v>
      </c>
      <c r="D5">
        <v>10.337</v>
      </c>
      <c r="E5">
        <v>2.1180000000000001E-2</v>
      </c>
      <c r="F5">
        <v>51.48</v>
      </c>
    </row>
    <row r="27" spans="14:14" x14ac:dyDescent="0.3">
      <c r="N27" s="5" t="s">
        <v>24</v>
      </c>
    </row>
    <row r="28" spans="14:14" x14ac:dyDescent="0.3">
      <c r="N28" s="5" t="s">
        <v>25</v>
      </c>
    </row>
    <row r="29" spans="14:14" x14ac:dyDescent="0.3">
      <c r="N29" s="5" t="s">
        <v>26</v>
      </c>
    </row>
    <row r="30" spans="14:14" x14ac:dyDescent="0.3">
      <c r="N30" s="5" t="s">
        <v>27</v>
      </c>
    </row>
    <row r="31" spans="14:14" x14ac:dyDescent="0.3">
      <c r="N31" s="5" t="s">
        <v>28</v>
      </c>
    </row>
    <row r="32" spans="14:14" x14ac:dyDescent="0.3">
      <c r="N32" s="7" t="s">
        <v>29</v>
      </c>
    </row>
    <row r="34" spans="14:14" x14ac:dyDescent="0.3">
      <c r="N34" s="5" t="s">
        <v>30</v>
      </c>
    </row>
    <row r="35" spans="14:14" x14ac:dyDescent="0.3">
      <c r="N35" s="6" t="s">
        <v>31</v>
      </c>
    </row>
    <row r="36" spans="14:14" x14ac:dyDescent="0.3">
      <c r="N36" s="6" t="s">
        <v>32</v>
      </c>
    </row>
    <row r="37" spans="14:14" x14ac:dyDescent="0.3">
      <c r="N37" s="5" t="s">
        <v>33</v>
      </c>
    </row>
    <row r="38" spans="14:14" x14ac:dyDescent="0.3">
      <c r="N38" s="5" t="s">
        <v>34</v>
      </c>
    </row>
    <row r="39" spans="14:14" x14ac:dyDescent="0.3">
      <c r="N39" s="8" t="s">
        <v>35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main_sheet</vt:lpstr>
      <vt:lpstr>1C</vt:lpstr>
      <vt:lpstr>2C</vt:lpstr>
      <vt:lpstr>4C</vt:lpstr>
      <vt:lpstr>6C</vt:lpstr>
      <vt:lpstr>final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2024-10-14T11:39:51Z</dcterms:modified>
</cp:coreProperties>
</file>